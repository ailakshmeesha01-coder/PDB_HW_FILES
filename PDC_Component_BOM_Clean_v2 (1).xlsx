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&amp; Component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<sst xmlns="http://schemas.openxmlformats.org/spreadsheetml/2006/main" count="244" uniqueCount="209">
  <si>
    <t xml:space="preserve">Id</t>
  </si>
  <si>
    <t xml:space="preserve">Designator</t>
  </si>
  <si>
    <t xml:space="preserve">Footprint</t>
  </si>
  <si>
    <t xml:space="preserve">Quantity</t>
  </si>
  <si>
    <t xml:space="preserve">Designation</t>
  </si>
  <si>
    <t xml:space="preserve">Supplier and ref</t>
  </si>
  <si>
    <t xml:space="preserve">Link</t>
  </si>
  <si>
    <t xml:space="preserve">Notes</t>
  </si>
  <si>
    <t xml:space="preserve">C1, C2, C3, C4</t>
  </si>
  <si>
    <t xml:space="preserve">CP_Radial_D18.0mm_P7.50mm</t>
  </si>
  <si>
    <t xml:space="preserve">1000uF/100V</t>
  </si>
  <si>
    <t xml:space="preserve">DigiKey – Nichicon UVR2A102MHD</t>
  </si>
  <si>
    <t xml:space="preserve">https://www.digikey.in/en/products/detail/nichicon/UVR2A102MHD/588893</t>
  </si>
  <si>
    <t xml:space="preserve">Check 18 mm diameter on product page. A 105 °C low-ESR series lasts longer on a motor bus.</t>
  </si>
  <si>
    <t xml:space="preserve">C5</t>
  </si>
  <si>
    <t xml:space="preserve">100uF</t>
  </si>
  <si>
    <t xml:space="preserve">DigiKey – Panasonic EEU-FC2A101L</t>
  </si>
  <si>
    <t xml:space="preserve">https://www.digikey.in/en/products/result?keywords=EEU-FC2A101L</t>
  </si>
  <si>
    <t xml:space="preserve">10 mm dia, 5 mm pitch: change C5 footprint to CP_Radial_D10.0mm_P5.00mm and use C_Polarized with + on BATT+.</t>
  </si>
  <si>
    <t xml:space="preserve">C6</t>
  </si>
  <si>
    <t xml:space="preserve">CP_Radial_D10.0mm_P5.00mm</t>
  </si>
  <si>
    <t xml:space="preserve">C9</t>
  </si>
  <si>
    <t xml:space="preserve">LED_0805_2012Metric_Pad1.15x1.40mm_HandSolder</t>
  </si>
  <si>
    <t xml:space="preserve">1µF</t>
  </si>
  <si>
    <t xml:space="preserve">DigiKey – Murata GRM21BR71H105KA12L</t>
  </si>
  <si>
    <t xml:space="preserve">https://www.digikey.in/en/products/result?keywords=GRM21BR71H105KA12L</t>
  </si>
  <si>
    <t xml:space="preserve">Footprint is an LED footprint: change to C_0805_2012Metric.</t>
  </si>
  <si>
    <t xml:space="preserve">C10, C11</t>
  </si>
  <si>
    <t xml:space="preserve">470nF</t>
  </si>
  <si>
    <t xml:space="preserve">DigiKey – Murata GRM21BR71H474KA88L</t>
  </si>
  <si>
    <t xml:space="preserve">https://www.digikey.in/en/products/result?keywords=GRM21BR71H474KA88L</t>
  </si>
  <si>
    <t xml:space="preserve">C12</t>
  </si>
  <si>
    <t xml:space="preserve">C_1206_3216Metric_Pad1.33x1.80mm_HandSolder</t>
  </si>
  <si>
    <t xml:space="preserve">4.3µF</t>
  </si>
  <si>
    <t xml:space="preserve">DigiKey – Murata GRM31CR71H475KA12L</t>
  </si>
  <si>
    <t xml:space="preserve">https://www.digikey.in/en/products/result?keywords=GRM31CR71H475KA12L</t>
  </si>
  <si>
    <t xml:space="preserve">4.3 µF is not a standard value: use 4.7 µF.</t>
  </si>
  <si>
    <t xml:space="preserve">C13</t>
  </si>
  <si>
    <t xml:space="preserve">4.3 µF</t>
  </si>
  <si>
    <t xml:space="preserve">C16</t>
  </si>
  <si>
    <t xml:space="preserve">C_0805_2012Metric_Pad1.18x1.45mm_HandSolder</t>
  </si>
  <si>
    <t xml:space="preserve">C17</t>
  </si>
  <si>
    <t xml:space="preserve">10nF</t>
  </si>
  <si>
    <t xml:space="preserve">DigiKey – Murata GRM216R71H103KA01D</t>
  </si>
  <si>
    <t xml:space="preserve">https://www.digikey.in/en/products/result?keywords=GRM216R71H103KA01D</t>
  </si>
  <si>
    <t xml:space="preserve">C18, C22, C23, C25, C26</t>
  </si>
  <si>
    <t xml:space="preserve">100nF</t>
  </si>
  <si>
    <t xml:space="preserve">DigiKey – Murata GRM21BR71H104KA01L</t>
  </si>
  <si>
    <t xml:space="preserve">https://www.digikey.in/en/products/result?keywords=GRM21BR71H104KA01L</t>
  </si>
  <si>
    <t xml:space="preserve">C19</t>
  </si>
  <si>
    <t xml:space="preserve">0.47 µF</t>
  </si>
  <si>
    <t xml:space="preserve">C20</t>
  </si>
  <si>
    <t xml:space="preserve">2.2 µF</t>
  </si>
  <si>
    <t xml:space="preserve">DigiKey – Murata GRM21BR71E225KA73L</t>
  </si>
  <si>
    <t xml:space="preserve">https://www.digikey.in/en/products/result?keywords=GRM21BR71E225KA73L</t>
  </si>
  <si>
    <t xml:space="preserve">C21</t>
  </si>
  <si>
    <t xml:space="preserve">47nF</t>
  </si>
  <si>
    <t xml:space="preserve">DigiKey – Murata GRM21BR71H473KA01L</t>
  </si>
  <si>
    <t xml:space="preserve">https://www.digikey.in/en/products/result?keywords=GRM21BR71H473KA01L</t>
  </si>
  <si>
    <t xml:space="preserve">D1, D3</t>
  </si>
  <si>
    <t xml:space="preserve">D_SMA</t>
  </si>
  <si>
    <t xml:space="preserve">SS310</t>
  </si>
  <si>
    <t xml:space="preserve">DigiKey – Comchip SS310-HF (alt: MCC SK310A-LTP)</t>
  </si>
  <si>
    <t xml:space="preserve">https://www.digikey.in/en/products/detail/comchip-technology/SS310-HF/10279686</t>
  </si>
  <si>
    <t xml:space="preserve">D2</t>
  </si>
  <si>
    <t xml:space="preserve">DIOM6859X262N</t>
  </si>
  <si>
    <t xml:space="preserve">SMCJ54A</t>
  </si>
  <si>
    <t xml:space="preserve">DigiKey – Littelfuse SMCJ54A</t>
  </si>
  <si>
    <t xml:space="preserve">https://www.digikey.in/en/products/result?keywords=SMCJ54A</t>
  </si>
  <si>
    <t xml:space="preserve">D4</t>
  </si>
  <si>
    <t xml:space="preserve">LED_0805_2012Metric</t>
  </si>
  <si>
    <t xml:space="preserve">LED</t>
  </si>
  <si>
    <t xml:space="preserve">DigiKey – Lite-On LTST-C171KRKT (red 0805)</t>
  </si>
  <si>
    <t xml:space="preserve">https://www.digikey.in/en/products/result?keywords=LTST-C171KRKT</t>
  </si>
  <si>
    <t xml:space="preserve">D5</t>
  </si>
  <si>
    <t xml:space="preserve">D_SOD-123</t>
  </si>
  <si>
    <t xml:space="preserve">1N4148W</t>
  </si>
  <si>
    <t xml:space="preserve">DigiKey – Diodes Inc 1N4148W-7-F</t>
  </si>
  <si>
    <t xml:space="preserve">https://www.digikey.in/en/products/result?keywords=1N4148W-7-F</t>
  </si>
  <si>
    <t xml:space="preserve">D7</t>
  </si>
  <si>
    <t xml:space="preserve">D_SMF</t>
  </si>
  <si>
    <t xml:space="preserve">SMF15A</t>
  </si>
  <si>
    <t xml:space="preserve">DigiKey – Littelfuse SMF15A</t>
  </si>
  <si>
    <t xml:space="preserve">https://www.digikey.in/en/products/detail/littelfuse-inc/SMF15A/3672307</t>
  </si>
  <si>
    <t xml:space="preserve">F1, F4</t>
  </si>
  <si>
    <t xml:space="preserve">Fuseholder_Blade_Mini_Keystone_3568</t>
  </si>
  <si>
    <t xml:space="preserve">3568-15</t>
  </si>
  <si>
    <t xml:space="preserve">DigiKey – Keystone 3568 (holder)</t>
  </si>
  <si>
    <t xml:space="preserve">https://www.digikey.in/en/products/result?keywords=Keystone%203568</t>
  </si>
  <si>
    <t xml:space="preserve">F1 holder is 30 A max: F1 must change to a 100 A-class fuse/holder. F4 fuse: 7.5 A mini blade (ATM).</t>
  </si>
  <si>
    <t xml:space="preserve">J1, J2, J3, J4, J5, J6, J7, J8, J9, J10, J14, J15</t>
  </si>
  <si>
    <t xml:space="preserve">AMASS_XT60PW-F_1x02_P7.20mm_Horizontal</t>
  </si>
  <si>
    <t xml:space="preserve">Conn_01x02_Pin</t>
  </si>
  <si>
    <t xml:space="preserve">Robu – AMASS XT60PW-F</t>
  </si>
  <si>
    <t xml:space="preserve">https://aws.robu.in/?p=2158378</t>
  </si>
  <si>
    <t xml:space="preserve">J11</t>
  </si>
  <si>
    <t xml:space="preserve">CONN-TH_XT90PW2X2-MGY</t>
  </si>
  <si>
    <t xml:space="preserve">XT90PW(2+2)-M.G.Y</t>
  </si>
  <si>
    <t xml:space="preserve">Robu – AMASS XT90(2+2)PW-M.G.Y</t>
  </si>
  <si>
    <t xml:space="preserve">https://aws.robu.in/product/amass-xt90pw22-male-connector-xt9022pw-m-g-y</t>
  </si>
  <si>
    <t xml:space="preserve">J12</t>
  </si>
  <si>
    <t xml:space="preserve">AMASS_XT30PW-F_1x02_P2.50mm_Horizontal</t>
  </si>
  <si>
    <t xml:space="preserve">Robu – AMASS XT30PW-F</t>
  </si>
  <si>
    <t xml:space="preserve">https://aws.robu.in/product/amass-xt30pw30-female-connector-xt30pw-f30-g-y</t>
  </si>
  <si>
    <t xml:space="preserve">J13</t>
  </si>
  <si>
    <t xml:space="preserve">QS8-S-M_Vertical_DirectCup</t>
  </si>
  <si>
    <t xml:space="preserve">Robu – QS8-S anti-spark connector pair</t>
  </si>
  <si>
    <t xml:space="preserve">https://robu.in/product/qs8-s-anti-spark-male-female-connector-pair/</t>
  </si>
  <si>
    <t xml:space="preserve">Q2</t>
  </si>
  <si>
    <t xml:space="preserve">TRANS_IRF540NSTRLPBF</t>
  </si>
  <si>
    <t xml:space="preserve">IRF540NSTRLPBF</t>
  </si>
  <si>
    <t xml:space="preserve">DigiKey – Infineon IRF540NSTRLPBF</t>
  </si>
  <si>
    <t xml:space="preserve">https://www.digikey.in/en/products/detail/infineon-technologies/IRF540NSTRLPBF/1769873</t>
  </si>
  <si>
    <t xml:space="preserve">R1</t>
  </si>
  <si>
    <t xml:space="preserve">R_Axial_Power_L25.0mm_W9.0mm_P30.48mm</t>
  </si>
  <si>
    <t xml:space="preserve">2.7</t>
  </si>
  <si>
    <t xml:space="preserve">Robu – 2.7 Ω 5 W cement/wirewound, axial</t>
  </si>
  <si>
    <t xml:space="preserve">https://robu.in/?s=2.7+ohm+5W+resistor&amp;post_type=product</t>
  </si>
  <si>
    <t xml:space="preserve">Body must fit 25 x 9 mm footprint, 30.48 mm pitch.</t>
  </si>
  <si>
    <t xml:space="preserve">R3</t>
  </si>
  <si>
    <t xml:space="preserve">R_1206_3216Metric_Pad1.30x1.75mm_HandSolder</t>
  </si>
  <si>
    <t xml:space="preserve">47k</t>
  </si>
  <si>
    <t xml:space="preserve">DigiKey – Yageo RC1206FR-0747KL</t>
  </si>
  <si>
    <t xml:space="preserve">https://www.digikey.in/en/products/result?keywords=RC1206FR-0747KL</t>
  </si>
  <si>
    <t xml:space="preserve">R4</t>
  </si>
  <si>
    <t xml:space="preserve">R_0805_2012Metric_Pad1.20x1.40mm_HandSolder</t>
  </si>
  <si>
    <t xml:space="preserve">158k</t>
  </si>
  <si>
    <t xml:space="preserve">DigiKey – Yageo RC0805FR-07158KL</t>
  </si>
  <si>
    <t xml:space="preserve">https://www.digikey.in/en/products/result?keywords=RC0805FR-07158KL</t>
  </si>
  <si>
    <t xml:space="preserve">R5</t>
  </si>
  <si>
    <t xml:space="preserve">10k</t>
  </si>
  <si>
    <t xml:space="preserve">Robu – 10 kΩ 5 W cement/wirewound, axial</t>
  </si>
  <si>
    <t xml:space="preserve">https://robu.in/?s=10k+5W+resistor&amp;post_type=product</t>
  </si>
  <si>
    <t xml:space="preserve">R6</t>
  </si>
  <si>
    <t xml:space="preserve">150k</t>
  </si>
  <si>
    <t xml:space="preserve">DigiKey – Yageo RC0805FR-07150KL</t>
  </si>
  <si>
    <t xml:space="preserve">https://www.digikey.in/en/products/result?keywords=RC0805FR-07150KL</t>
  </si>
  <si>
    <t xml:space="preserve">R7</t>
  </si>
  <si>
    <t xml:space="preserve">22k</t>
  </si>
  <si>
    <t xml:space="preserve">DigiKey – Yageo RC1206FR-0722KL</t>
  </si>
  <si>
    <t xml:space="preserve">https://www.digikey.in/en/products/result?keywords=RC1206FR-0722KL</t>
  </si>
  <si>
    <t xml:space="preserve">R9, R14, R15, R16, R17</t>
  </si>
  <si>
    <t xml:space="preserve">10</t>
  </si>
  <si>
    <t xml:space="preserve">DigiKey – Yageo RC0805FR-0710RL</t>
  </si>
  <si>
    <t xml:space="preserve">https://www.digikey.in/en/products/result?keywords=RC0805FR-0710RL</t>
  </si>
  <si>
    <t xml:space="preserve">R10, R11, R12, R13, R21, R22, R23, R25, R26</t>
  </si>
  <si>
    <t xml:space="preserve">DigiKey – Yageo RC0805FR-0710KL</t>
  </si>
  <si>
    <t xml:space="preserve">https://www.digikey.in/en/products/result?keywords=RC0805FR-0710KL</t>
  </si>
  <si>
    <t xml:space="preserve">R18, R20</t>
  </si>
  <si>
    <t xml:space="preserve">20k</t>
  </si>
  <si>
    <t xml:space="preserve">DigiKey – Yageo RC0805FR-0720KL</t>
  </si>
  <si>
    <t xml:space="preserve">https://www.digikey.in/en/products/result?keywords=RC0805FR-0720KL</t>
  </si>
  <si>
    <t xml:space="preserve">R24</t>
  </si>
  <si>
    <t xml:space="preserve">1M</t>
  </si>
  <si>
    <t xml:space="preserve">DigiKey – Yageo RC0805FR-071ML</t>
  </si>
  <si>
    <t xml:space="preserve">https://www.digikey.in/en/products/result?keywords=RC0805FR-071ML</t>
  </si>
  <si>
    <t xml:space="preserve">R27</t>
  </si>
  <si>
    <t xml:space="preserve">100k</t>
  </si>
  <si>
    <t xml:space="preserve">DigiKey – Yageo RC0805FR-07100KL</t>
  </si>
  <si>
    <t xml:space="preserve">https://www.digikey.in/en/products/result?keywords=RC0805FR-07100KL</t>
  </si>
  <si>
    <t xml:space="preserve">R31</t>
  </si>
  <si>
    <t xml:space="preserve">100</t>
  </si>
  <si>
    <t xml:space="preserve">DigiKey – Yageo RC0805FR-07100RL</t>
  </si>
  <si>
    <t xml:space="preserve">https://www.digikey.in/en/products/result?keywords=RC0805FR-07100RL</t>
  </si>
  <si>
    <t xml:space="preserve">RV1</t>
  </si>
  <si>
    <t xml:space="preserve">Potentiometer_Bourns_3296W_Vertical</t>
  </si>
  <si>
    <t xml:space="preserve">500k</t>
  </si>
  <si>
    <t xml:space="preserve">DigiKey – Bourns 3296W-1-504LF</t>
  </si>
  <si>
    <t xml:space="preserve">https://www.digikey.in/en/products/result?keywords=3296W-1-504LF</t>
  </si>
  <si>
    <t xml:space="preserve">U1, U2</t>
  </si>
  <si>
    <t xml:space="preserve">DWZ0008A-MFG</t>
  </si>
  <si>
    <t xml:space="preserve">TPSI3050QDWZRQ1</t>
  </si>
  <si>
    <t xml:space="preserve">DigiKey – TI TPSI3050QDWZRQ1</t>
  </si>
  <si>
    <t xml:space="preserve">https://www.digikey.in/en/products/detail/texas-instruments/TPSI3050QDWZRQ1/16982032</t>
  </si>
  <si>
    <t xml:space="preserve">U4</t>
  </si>
  <si>
    <t xml:space="preserve">SOIC-14_3.9x8.7mm_P1.27mm</t>
  </si>
  <si>
    <t xml:space="preserve">74HC74</t>
  </si>
  <si>
    <t xml:space="preserve">DigiKey – TI SN74HC74DR</t>
  </si>
  <si>
    <t xml:space="preserve">https://www.digikey.in/en/products/result?keywords=SN74HC74DR</t>
  </si>
  <si>
    <t xml:space="preserve">U5</t>
  </si>
  <si>
    <t xml:space="preserve">URB48_LD-60WR3</t>
  </si>
  <si>
    <t xml:space="preserve">URB4805LD-60WR3</t>
  </si>
  <si>
    <t xml:space="preserve">Mornsun distributor (India) – Mornsun URB4805LD-60WR3</t>
  </si>
  <si>
    <t xml:space="preserve">https://www.mornsun-power.com/public/uploads/pdf/URB48_LD-60W(H)R3.pdf</t>
  </si>
  <si>
    <t xml:space="preserve">Not on DigiKey or Robu: link is the datasheet; buy from a Mornsun India distributor.</t>
  </si>
  <si>
    <t xml:space="preserve">U6, U11, U12, U14</t>
  </si>
  <si>
    <t xml:space="preserve">IPB017N10N5ATMA1_INF</t>
  </si>
  <si>
    <t xml:space="preserve">IPB017N10N5ATMA1</t>
  </si>
  <si>
    <t xml:space="preserve">DigiKey (alt: element14 / RS India) – Infineon IPB017N10N5ATMA1</t>
  </si>
  <si>
    <t xml:space="preserve">https://www.digikey.in/en/products/result?keywords=IPB017N10N5ATMA1</t>
  </si>
  <si>
    <t xml:space="preserve">U7</t>
  </si>
  <si>
    <t xml:space="preserve">SOIC-8_3.9x4.9mm_P1.27mm</t>
  </si>
  <si>
    <t xml:space="preserve">TLC555CDR</t>
  </si>
  <si>
    <t xml:space="preserve">DigiKey – TI TLC555CDR</t>
  </si>
  <si>
    <t xml:space="preserve">https://www.digikey.in/en/products/result?keywords=TLC555CDR</t>
  </si>
  <si>
    <t xml:space="preserve">U8</t>
  </si>
  <si>
    <t xml:space="preserve">SOIC127P600X175-14N</t>
  </si>
  <si>
    <t xml:space="preserve">SN74HC08D</t>
  </si>
  <si>
    <t xml:space="preserve">DigiKey – TI SN74HC08D</t>
  </si>
  <si>
    <t xml:space="preserve">https://www.digikey.in/en/products/result?keywords=SN74HC08D</t>
  </si>
  <si>
    <t xml:space="preserve">U9</t>
  </si>
  <si>
    <t xml:space="preserve">SN74HC14DR</t>
  </si>
  <si>
    <t xml:space="preserve">DigiKey – TI SN74HC14DR</t>
  </si>
  <si>
    <t xml:space="preserve">https://www.digikey.in/en/products/result?keywords=SN74HC14DR</t>
  </si>
  <si>
    <t xml:space="preserve">U10</t>
  </si>
  <si>
    <t xml:space="preserve">LM393LVDR</t>
  </si>
  <si>
    <t xml:space="preserve">DigiKey – TI LM393LVDR</t>
  </si>
  <si>
    <t xml:space="preserve">https://www.digikey.in/en/products/detail/texas-instruments/LM393LVDR/13535466</t>
  </si>
  <si>
    <t xml:space="preserve">Total Components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</si>
</sst>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u val="single"/>
      <sz val="10"/>
      <color rgb="FF0563C1"/>
      <name val="Calibri"/>
      <family val="0"/>
      <charset val="1"/>
    </font>
    <font>
      <b val="true"/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563C1"/>
      </patternFill>
    </fill>
    <fill>
      <patternFill patternType="solid">
        <fgColor rgb="FFF2F5F9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102A45"/>
      </left>
      <right style="thin">
        <color rgb="FF102A45"/>
      </right>
      <top style="thin">
        <color rgb="FF102A45"/>
      </top>
      <bottom style="medium">
        <color rgb="FF102A45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2A45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igikey.in/en/products/detail/nichicon/UVR2A102MHD/588893" TargetMode="External"/><Relationship Id="rId2" Type="http://schemas.openxmlformats.org/officeDocument/2006/relationships/hyperlink" Target="https://www.digikey.in/en/products/result?keywords=EEU-FC2A101L" TargetMode="External"/><Relationship Id="rId3" Type="http://schemas.openxmlformats.org/officeDocument/2006/relationships/hyperlink" Target="https://www.digikey.in/en/products/result?keywords=EEU-FC2A101L" TargetMode="External"/><Relationship Id="rId4" Type="http://schemas.openxmlformats.org/officeDocument/2006/relationships/hyperlink" Target="https://www.digikey.in/en/products/result?keywords=GRM21BR71H105KA12L" TargetMode="External"/><Relationship Id="rId5" Type="http://schemas.openxmlformats.org/officeDocument/2006/relationships/hyperlink" Target="https://www.digikey.in/en/products/result?keywords=GRM21BR71H474KA88L" TargetMode="External"/><Relationship Id="rId6" Type="http://schemas.openxmlformats.org/officeDocument/2006/relationships/hyperlink" Target="https://www.digikey.in/en/products/result?keywords=GRM31CR71H475KA12L" TargetMode="External"/><Relationship Id="rId7" Type="http://schemas.openxmlformats.org/officeDocument/2006/relationships/hyperlink" Target="https://www.digikey.in/en/products/result?keywords=GRM31CR71H475KA12L" TargetMode="External"/><Relationship Id="rId8" Type="http://schemas.openxmlformats.org/officeDocument/2006/relationships/hyperlink" Target="https://www.digikey.in/en/products/result?keywords=GRM21BR71H105KA12L" TargetMode="External"/><Relationship Id="rId9" Type="http://schemas.openxmlformats.org/officeDocument/2006/relationships/hyperlink" Target="https://www.digikey.in/en/products/result?keywords=GRM216R71H103KA01D" TargetMode="External"/><Relationship Id="rId10" Type="http://schemas.openxmlformats.org/officeDocument/2006/relationships/hyperlink" Target="https://www.digikey.in/en/products/result?keywords=GRM21BR71H104KA01L" TargetMode="External"/><Relationship Id="rId11" Type="http://schemas.openxmlformats.org/officeDocument/2006/relationships/hyperlink" Target="https://www.digikey.in/en/products/result?keywords=GRM21BR71H474KA88L" TargetMode="External"/><Relationship Id="rId12" Type="http://schemas.openxmlformats.org/officeDocument/2006/relationships/hyperlink" Target="https://www.digikey.in/en/products/result?keywords=GRM21BR71E225KA73L" TargetMode="External"/><Relationship Id="rId13" Type="http://schemas.openxmlformats.org/officeDocument/2006/relationships/hyperlink" Target="https://www.digikey.in/en/products/result?keywords=GRM21BR71H473KA01L" TargetMode="External"/><Relationship Id="rId14" Type="http://schemas.openxmlformats.org/officeDocument/2006/relationships/hyperlink" Target="https://www.digikey.in/en/products/detail/comchip-technology/SS310-HF/10279686" TargetMode="External"/><Relationship Id="rId15" Type="http://schemas.openxmlformats.org/officeDocument/2006/relationships/hyperlink" Target="https://www.digikey.in/en/products/result?keywords=SMCJ54A" TargetMode="External"/><Relationship Id="rId16" Type="http://schemas.openxmlformats.org/officeDocument/2006/relationships/hyperlink" Target="https://www.digikey.in/en/products/result?keywords=LTST-C171KRKT" TargetMode="External"/><Relationship Id="rId17" Type="http://schemas.openxmlformats.org/officeDocument/2006/relationships/hyperlink" Target="https://www.digikey.in/en/products/result?keywords=1N4148W-7-F" TargetMode="External"/><Relationship Id="rId18" Type="http://schemas.openxmlformats.org/officeDocument/2006/relationships/hyperlink" Target="https://www.digikey.in/en/products/detail/littelfuse-inc/SMF15A/3672307" TargetMode="External"/><Relationship Id="rId19" Type="http://schemas.openxmlformats.org/officeDocument/2006/relationships/hyperlink" Target="https://www.digikey.in/en/products/result?keywords=Keystone%203568" TargetMode="External"/><Relationship Id="rId20" Type="http://schemas.openxmlformats.org/officeDocument/2006/relationships/hyperlink" Target="https://aws.robu.in/?p=2158378" TargetMode="External"/><Relationship Id="rId21" Type="http://schemas.openxmlformats.org/officeDocument/2006/relationships/hyperlink" Target="https://aws.robu.in/product/amass-xt90pw22-male-connector-xt9022pw-m-g-y" TargetMode="External"/><Relationship Id="rId22" Type="http://schemas.openxmlformats.org/officeDocument/2006/relationships/hyperlink" Target="https://aws.robu.in/product/amass-xt30pw30-female-connector-xt30pw-f30-g-y" TargetMode="External"/><Relationship Id="rId23" Type="http://schemas.openxmlformats.org/officeDocument/2006/relationships/hyperlink" Target="https://robu.in/product/qs8-s-anti-spark-male-female-connector-pair/" TargetMode="External"/><Relationship Id="rId24" Type="http://schemas.openxmlformats.org/officeDocument/2006/relationships/hyperlink" Target="https://www.digikey.in/en/products/detail/infineon-technologies/IRF540NSTRLPBF/1769873" TargetMode="External"/><Relationship Id="rId25" Type="http://schemas.openxmlformats.org/officeDocument/2006/relationships/hyperlink" Target="https://robu.in/?s=2.7+ohm+5W+resistor&amp;post_type=product" TargetMode="External"/><Relationship Id="rId26" Type="http://schemas.openxmlformats.org/officeDocument/2006/relationships/hyperlink" Target="https://www.digikey.in/en/products/result?keywords=RC1206FR-0747KL" TargetMode="External"/><Relationship Id="rId27" Type="http://schemas.openxmlformats.org/officeDocument/2006/relationships/hyperlink" Target="https://www.digikey.in/en/products/result?keywords=RC0805FR-07158KL" TargetMode="External"/><Relationship Id="rId28" Type="http://schemas.openxmlformats.org/officeDocument/2006/relationships/hyperlink" Target="https://robu.in/?s=10k+5W+resistor&amp;post_type=product" TargetMode="External"/><Relationship Id="rId29" Type="http://schemas.openxmlformats.org/officeDocument/2006/relationships/hyperlink" Target="https://www.digikey.in/en/products/result?keywords=RC0805FR-07150KL" TargetMode="External"/><Relationship Id="rId30" Type="http://schemas.openxmlformats.org/officeDocument/2006/relationships/hyperlink" Target="https://www.digikey.in/en/products/result?keywords=RC1206FR-0722KL" TargetMode="External"/><Relationship Id="rId31" Type="http://schemas.openxmlformats.org/officeDocument/2006/relationships/hyperlink" Target="https://www.digikey.in/en/products/result?keywords=RC0805FR-0710RL" TargetMode="External"/><Relationship Id="rId32" Type="http://schemas.openxmlformats.org/officeDocument/2006/relationships/hyperlink" Target="https://www.digikey.in/en/products/result?keywords=RC0805FR-0710KL" TargetMode="External"/><Relationship Id="rId33" Type="http://schemas.openxmlformats.org/officeDocument/2006/relationships/hyperlink" Target="https://www.digikey.in/en/products/result?keywords=RC0805FR-0720KL" TargetMode="External"/><Relationship Id="rId34" Type="http://schemas.openxmlformats.org/officeDocument/2006/relationships/hyperlink" Target="https://www.digikey.in/en/products/result?keywords=RC0805FR-071ML" TargetMode="External"/><Relationship Id="rId35" Type="http://schemas.openxmlformats.org/officeDocument/2006/relationships/hyperlink" Target="https://www.digikey.in/en/products/result?keywords=RC0805FR-07100KL" TargetMode="External"/><Relationship Id="rId36" Type="http://schemas.openxmlformats.org/officeDocument/2006/relationships/hyperlink" Target="https://www.digikey.in/en/products/result?keywords=RC0805FR-07100RL" TargetMode="External"/><Relationship Id="rId37" Type="http://schemas.openxmlformats.org/officeDocument/2006/relationships/hyperlink" Target="https://www.digikey.in/en/products/result?keywords=3296W-1-504LF" TargetMode="External"/><Relationship Id="rId38" Type="http://schemas.openxmlformats.org/officeDocument/2006/relationships/hyperlink" Target="https://www.digikey.in/en/products/detail/texas-instruments/TPSI3050QDWZRQ1/16982032" TargetMode="External"/><Relationship Id="rId39" Type="http://schemas.openxmlformats.org/officeDocument/2006/relationships/hyperlink" Target="https://www.digikey.in/en/products/result?keywords=SN74HC74DR" TargetMode="External"/><Relationship Id="rId40" Type="http://schemas.openxmlformats.org/officeDocument/2006/relationships/hyperlink" Target="https://www.mornsun-power.com/public/uploads/pdf/URB48_LD-60W(H)R3.pdf" TargetMode="External"/><Relationship Id="rId41" Type="http://schemas.openxmlformats.org/officeDocument/2006/relationships/hyperlink" Target="https://www.digikey.in/en/products/result?keywords=IPB017N10N5ATMA1" TargetMode="External"/><Relationship Id="rId42" Type="http://schemas.openxmlformats.org/officeDocument/2006/relationships/hyperlink" Target="https://www.digikey.in/en/products/result?keywords=TLC555CDR" TargetMode="External"/><Relationship Id="rId43" Type="http://schemas.openxmlformats.org/officeDocument/2006/relationships/hyperlink" Target="https://www.digikey.in/en/products/result?keywords=SN74HC08D" TargetMode="External"/><Relationship Id="rId44" Type="http://schemas.openxmlformats.org/officeDocument/2006/relationships/hyperlink" Target="https://www.digikey.in/en/products/result?keywords=SN74HC14DR" TargetMode="External"/><Relationship Id="rId45" Type="http://schemas.openxmlformats.org/officeDocument/2006/relationships/hyperlink" Target="https://www.digikey.in/en/products/detail/texas-instruments/LM393LVDR/1353546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3"/>
    <col collapsed="false" customWidth="true" hidden="false" outlineLevel="0" max="3" min="3" style="0" width="49"/>
    <col collapsed="false" customWidth="true" hidden="false" outlineLevel="0" max="4" min="4" style="0" width="12"/>
    <col collapsed="false" customWidth="true" hidden="false" outlineLevel="0" max="5" min="5" style="0" width="21"/>
    <col collapsed="false" customWidth="true" hidden="false" outlineLevel="0" max="6" min="6" style="0" width="42"/>
    <col collapsed="false" customWidth="true" hidden="false" outlineLevel="0" max="7" min="7" style="0" width="60"/>
    <col collapsed="false" customWidth="true" hidden="false" outlineLevel="0" max="8" min="8" style="0" width="55"/>
  </cols>
  <sheetData>
    <row r="1" customFormat="false" ht="27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9.5" hidden="false" customHeight="true" outlineLevel="0" collapsed="false">
      <c r="A2" s="3" t="n">
        <v>1</v>
      </c>
      <c r="B2" s="4" t="s">
        <v>8</v>
      </c>
      <c r="C2" s="5" t="s">
        <v>9</v>
      </c>
      <c r="D2" s="3" t="n">
        <v>4</v>
      </c>
      <c r="E2" s="5" t="s">
        <v>10</v>
      </c>
      <c r="F2" s="5" t="s">
        <v>11</v>
      </c>
      <c r="G2" s="6" t="s">
        <v>12</v>
      </c>
      <c r="H2" s="7" t="s">
        <v>13</v>
      </c>
    </row>
    <row r="3" customFormat="false" ht="19.5" hidden="false" customHeight="true" outlineLevel="0" collapsed="false">
      <c r="A3" s="8" t="n">
        <v>2</v>
      </c>
      <c r="B3" s="9" t="s">
        <v>14</v>
      </c>
      <c r="C3" s="10" t="s">
        <v>9</v>
      </c>
      <c r="D3" s="8" t="n">
        <v>1</v>
      </c>
      <c r="E3" s="10" t="s">
        <v>15</v>
      </c>
      <c r="F3" s="10" t="s">
        <v>16</v>
      </c>
      <c r="G3" s="11" t="s">
        <v>17</v>
      </c>
      <c r="H3" s="12" t="s">
        <v>18</v>
      </c>
    </row>
    <row r="4" customFormat="false" ht="19.5" hidden="false" customHeight="true" outlineLevel="0" collapsed="false">
      <c r="A4" s="3" t="n">
        <v>3</v>
      </c>
      <c r="B4" s="4" t="s">
        <v>19</v>
      </c>
      <c r="C4" s="5" t="s">
        <v>20</v>
      </c>
      <c r="D4" s="3" t="n">
        <v>1</v>
      </c>
      <c r="E4" s="5" t="s">
        <v>15</v>
      </c>
      <c r="F4" s="5" t="s">
        <v>16</v>
      </c>
      <c r="G4" s="6" t="s">
        <v>17</v>
      </c>
      <c r="H4" s="7"/>
    </row>
    <row r="5" customFormat="false" ht="19.5" hidden="false" customHeight="true" outlineLevel="0" collapsed="false">
      <c r="A5" s="8" t="n">
        <v>4</v>
      </c>
      <c r="B5" s="9" t="s">
        <v>21</v>
      </c>
      <c r="C5" s="10" t="s">
        <v>22</v>
      </c>
      <c r="D5" s="8" t="n">
        <v>1</v>
      </c>
      <c r="E5" s="10" t="s">
        <v>23</v>
      </c>
      <c r="F5" s="10" t="s">
        <v>24</v>
      </c>
      <c r="G5" s="11" t="s">
        <v>25</v>
      </c>
      <c r="H5" s="12" t="s">
        <v>26</v>
      </c>
    </row>
    <row r="6" customFormat="false" ht="19.5" hidden="false" customHeight="true" outlineLevel="0" collapsed="false">
      <c r="A6" s="3" t="n">
        <v>5</v>
      </c>
      <c r="B6" s="4" t="s">
        <v>27</v>
      </c>
      <c r="C6" s="5" t="s">
        <v>22</v>
      </c>
      <c r="D6" s="3" t="n">
        <v>2</v>
      </c>
      <c r="E6" s="5" t="s">
        <v>28</v>
      </c>
      <c r="F6" s="5" t="s">
        <v>29</v>
      </c>
      <c r="G6" s="6" t="s">
        <v>30</v>
      </c>
      <c r="H6" s="7" t="s">
        <v>26</v>
      </c>
    </row>
    <row r="7" customFormat="false" ht="19.5" hidden="false" customHeight="true" outlineLevel="0" collapsed="false">
      <c r="A7" s="8" t="n">
        <v>6</v>
      </c>
      <c r="B7" s="9" t="s">
        <v>31</v>
      </c>
      <c r="C7" s="10" t="s">
        <v>32</v>
      </c>
      <c r="D7" s="8" t="n">
        <v>1</v>
      </c>
      <c r="E7" s="10" t="s">
        <v>33</v>
      </c>
      <c r="F7" s="10" t="s">
        <v>34</v>
      </c>
      <c r="G7" s="11" t="s">
        <v>35</v>
      </c>
      <c r="H7" s="12" t="s">
        <v>36</v>
      </c>
    </row>
    <row r="8" customFormat="false" ht="19.5" hidden="false" customHeight="true" outlineLevel="0" collapsed="false">
      <c r="A8" s="3" t="n">
        <v>7</v>
      </c>
      <c r="B8" s="4" t="s">
        <v>37</v>
      </c>
      <c r="C8" s="5" t="s">
        <v>32</v>
      </c>
      <c r="D8" s="3" t="n">
        <v>1</v>
      </c>
      <c r="E8" s="5" t="s">
        <v>38</v>
      </c>
      <c r="F8" s="5" t="s">
        <v>34</v>
      </c>
      <c r="G8" s="6" t="s">
        <v>35</v>
      </c>
      <c r="H8" s="7" t="s">
        <v>36</v>
      </c>
    </row>
    <row r="9" customFormat="false" ht="19.5" hidden="false" customHeight="true" outlineLevel="0" collapsed="false">
      <c r="A9" s="8" t="n">
        <v>8</v>
      </c>
      <c r="B9" s="9" t="s">
        <v>39</v>
      </c>
      <c r="C9" s="10" t="s">
        <v>40</v>
      </c>
      <c r="D9" s="8" t="n">
        <v>1</v>
      </c>
      <c r="E9" s="10" t="s">
        <v>23</v>
      </c>
      <c r="F9" s="10" t="s">
        <v>24</v>
      </c>
      <c r="G9" s="11" t="s">
        <v>25</v>
      </c>
      <c r="H9" s="12"/>
    </row>
    <row r="10" customFormat="false" ht="19.5" hidden="false" customHeight="true" outlineLevel="0" collapsed="false">
      <c r="A10" s="3" t="n">
        <v>9</v>
      </c>
      <c r="B10" s="4" t="s">
        <v>41</v>
      </c>
      <c r="C10" s="5" t="s">
        <v>40</v>
      </c>
      <c r="D10" s="3" t="n">
        <v>1</v>
      </c>
      <c r="E10" s="5" t="s">
        <v>42</v>
      </c>
      <c r="F10" s="5" t="s">
        <v>43</v>
      </c>
      <c r="G10" s="6" t="s">
        <v>44</v>
      </c>
      <c r="H10" s="7"/>
    </row>
    <row r="11" customFormat="false" ht="19.5" hidden="false" customHeight="true" outlineLevel="0" collapsed="false">
      <c r="A11" s="8" t="n">
        <v>10</v>
      </c>
      <c r="B11" s="9" t="s">
        <v>45</v>
      </c>
      <c r="C11" s="10" t="s">
        <v>40</v>
      </c>
      <c r="D11" s="8" t="n">
        <v>5</v>
      </c>
      <c r="E11" s="10" t="s">
        <v>46</v>
      </c>
      <c r="F11" s="10" t="s">
        <v>47</v>
      </c>
      <c r="G11" s="11" t="s">
        <v>48</v>
      </c>
      <c r="H11" s="12"/>
    </row>
    <row r="12" customFormat="false" ht="19.5" hidden="false" customHeight="true" outlineLevel="0" collapsed="false">
      <c r="A12" s="3" t="n">
        <v>11</v>
      </c>
      <c r="B12" s="4" t="s">
        <v>49</v>
      </c>
      <c r="C12" s="5" t="s">
        <v>40</v>
      </c>
      <c r="D12" s="3" t="n">
        <v>1</v>
      </c>
      <c r="E12" s="5" t="s">
        <v>50</v>
      </c>
      <c r="F12" s="5" t="s">
        <v>29</v>
      </c>
      <c r="G12" s="6" t="s">
        <v>30</v>
      </c>
      <c r="H12" s="7"/>
    </row>
    <row r="13" customFormat="false" ht="19.5" hidden="false" customHeight="true" outlineLevel="0" collapsed="false">
      <c r="A13" s="8" t="n">
        <v>12</v>
      </c>
      <c r="B13" s="9" t="s">
        <v>51</v>
      </c>
      <c r="C13" s="10" t="s">
        <v>40</v>
      </c>
      <c r="D13" s="8" t="n">
        <v>1</v>
      </c>
      <c r="E13" s="10" t="s">
        <v>52</v>
      </c>
      <c r="F13" s="10" t="s">
        <v>53</v>
      </c>
      <c r="G13" s="11" t="s">
        <v>54</v>
      </c>
      <c r="H13" s="12"/>
    </row>
    <row r="14" customFormat="false" ht="19.5" hidden="false" customHeight="true" outlineLevel="0" collapsed="false">
      <c r="A14" s="3" t="n">
        <v>13</v>
      </c>
      <c r="B14" s="4" t="s">
        <v>55</v>
      </c>
      <c r="C14" s="5" t="s">
        <v>40</v>
      </c>
      <c r="D14" s="3" t="n">
        <v>1</v>
      </c>
      <c r="E14" s="5" t="s">
        <v>56</v>
      </c>
      <c r="F14" s="5" t="s">
        <v>57</v>
      </c>
      <c r="G14" s="6" t="s">
        <v>58</v>
      </c>
      <c r="H14" s="7"/>
    </row>
    <row r="15" customFormat="false" ht="19.5" hidden="false" customHeight="true" outlineLevel="0" collapsed="false">
      <c r="A15" s="8" t="n">
        <v>14</v>
      </c>
      <c r="B15" s="9" t="s">
        <v>59</v>
      </c>
      <c r="C15" s="10" t="s">
        <v>60</v>
      </c>
      <c r="D15" s="8" t="n">
        <v>2</v>
      </c>
      <c r="E15" s="10" t="s">
        <v>61</v>
      </c>
      <c r="F15" s="10" t="s">
        <v>62</v>
      </c>
      <c r="G15" s="11" t="s">
        <v>63</v>
      </c>
      <c r="H15" s="12"/>
    </row>
    <row r="16" customFormat="false" ht="19.5" hidden="false" customHeight="true" outlineLevel="0" collapsed="false">
      <c r="A16" s="3" t="n">
        <v>15</v>
      </c>
      <c r="B16" s="4" t="s">
        <v>64</v>
      </c>
      <c r="C16" s="5" t="s">
        <v>65</v>
      </c>
      <c r="D16" s="3" t="n">
        <v>1</v>
      </c>
      <c r="E16" s="5" t="s">
        <v>66</v>
      </c>
      <c r="F16" s="5" t="s">
        <v>67</v>
      </c>
      <c r="G16" s="6" t="s">
        <v>68</v>
      </c>
      <c r="H16" s="7"/>
    </row>
    <row r="17" customFormat="false" ht="19.5" hidden="false" customHeight="true" outlineLevel="0" collapsed="false">
      <c r="A17" s="8" t="n">
        <v>16</v>
      </c>
      <c r="B17" s="9" t="s">
        <v>69</v>
      </c>
      <c r="C17" s="10" t="s">
        <v>70</v>
      </c>
      <c r="D17" s="8" t="n">
        <v>1</v>
      </c>
      <c r="E17" s="10" t="s">
        <v>71</v>
      </c>
      <c r="F17" s="10" t="s">
        <v>72</v>
      </c>
      <c r="G17" s="11" t="s">
        <v>73</v>
      </c>
      <c r="H17" s="12"/>
    </row>
    <row r="18" customFormat="false" ht="19.5" hidden="false" customHeight="true" outlineLevel="0" collapsed="false">
      <c r="A18" s="3" t="n">
        <v>17</v>
      </c>
      <c r="B18" s="4" t="s">
        <v>74</v>
      </c>
      <c r="C18" s="5" t="s">
        <v>75</v>
      </c>
      <c r="D18" s="3" t="n">
        <v>1</v>
      </c>
      <c r="E18" s="5" t="s">
        <v>76</v>
      </c>
      <c r="F18" s="5" t="s">
        <v>77</v>
      </c>
      <c r="G18" s="6" t="s">
        <v>78</v>
      </c>
      <c r="H18" s="7"/>
    </row>
    <row r="19" customFormat="false" ht="19.5" hidden="false" customHeight="true" outlineLevel="0" collapsed="false">
      <c r="A19" s="8" t="n">
        <v>18</v>
      </c>
      <c r="B19" s="9" t="s">
        <v>79</v>
      </c>
      <c r="C19" s="10" t="s">
        <v>80</v>
      </c>
      <c r="D19" s="8" t="n">
        <v>1</v>
      </c>
      <c r="E19" s="10" t="s">
        <v>81</v>
      </c>
      <c r="F19" s="10" t="s">
        <v>82</v>
      </c>
      <c r="G19" s="11" t="s">
        <v>83</v>
      </c>
      <c r="H19" s="12"/>
    </row>
    <row r="20" customFormat="false" ht="19.5" hidden="false" customHeight="true" outlineLevel="0" collapsed="false">
      <c r="A20" s="3" t="n">
        <v>19</v>
      </c>
      <c r="B20" s="4" t="s">
        <v>84</v>
      </c>
      <c r="C20" s="5" t="s">
        <v>85</v>
      </c>
      <c r="D20" s="3" t="n">
        <v>2</v>
      </c>
      <c r="E20" s="5" t="s">
        <v>86</v>
      </c>
      <c r="F20" s="5" t="s">
        <v>87</v>
      </c>
      <c r="G20" s="6" t="s">
        <v>88</v>
      </c>
      <c r="H20" s="7" t="s">
        <v>89</v>
      </c>
    </row>
    <row r="21" customFormat="false" ht="19.5" hidden="false" customHeight="true" outlineLevel="0" collapsed="false">
      <c r="A21" s="8" t="n">
        <v>20</v>
      </c>
      <c r="B21" s="9" t="s">
        <v>90</v>
      </c>
      <c r="C21" s="10" t="s">
        <v>91</v>
      </c>
      <c r="D21" s="8" t="n">
        <v>12</v>
      </c>
      <c r="E21" s="10" t="s">
        <v>92</v>
      </c>
      <c r="F21" s="10" t="s">
        <v>93</v>
      </c>
      <c r="G21" s="11" t="s">
        <v>94</v>
      </c>
      <c r="H21" s="12"/>
    </row>
    <row r="22" customFormat="false" ht="19.5" hidden="false" customHeight="true" outlineLevel="0" collapsed="false">
      <c r="A22" s="3" t="n">
        <v>21</v>
      </c>
      <c r="B22" s="4" t="s">
        <v>95</v>
      </c>
      <c r="C22" s="5" t="s">
        <v>96</v>
      </c>
      <c r="D22" s="3" t="n">
        <v>1</v>
      </c>
      <c r="E22" s="5" t="s">
        <v>97</v>
      </c>
      <c r="F22" s="5" t="s">
        <v>98</v>
      </c>
      <c r="G22" s="6" t="s">
        <v>99</v>
      </c>
      <c r="H22" s="7"/>
    </row>
    <row r="23" customFormat="false" ht="19.5" hidden="false" customHeight="true" outlineLevel="0" collapsed="false">
      <c r="A23" s="8" t="n">
        <v>22</v>
      </c>
      <c r="B23" s="9" t="s">
        <v>100</v>
      </c>
      <c r="C23" s="10" t="s">
        <v>101</v>
      </c>
      <c r="D23" s="8" t="n">
        <v>1</v>
      </c>
      <c r="E23" s="10" t="s">
        <v>92</v>
      </c>
      <c r="F23" s="10" t="s">
        <v>102</v>
      </c>
      <c r="G23" s="11" t="s">
        <v>103</v>
      </c>
      <c r="H23" s="12"/>
    </row>
    <row r="24" customFormat="false" ht="19.5" hidden="false" customHeight="true" outlineLevel="0" collapsed="false">
      <c r="A24" s="3" t="n">
        <v>23</v>
      </c>
      <c r="B24" s="4" t="s">
        <v>104</v>
      </c>
      <c r="C24" s="5" t="s">
        <v>105</v>
      </c>
      <c r="D24" s="3" t="n">
        <v>1</v>
      </c>
      <c r="E24" s="5" t="s">
        <v>92</v>
      </c>
      <c r="F24" s="5" t="s">
        <v>106</v>
      </c>
      <c r="G24" s="6" t="s">
        <v>107</v>
      </c>
      <c r="H24" s="7"/>
    </row>
    <row r="25" customFormat="false" ht="19.5" hidden="false" customHeight="true" outlineLevel="0" collapsed="false">
      <c r="A25" s="8" t="n">
        <v>24</v>
      </c>
      <c r="B25" s="9" t="s">
        <v>108</v>
      </c>
      <c r="C25" s="10" t="s">
        <v>109</v>
      </c>
      <c r="D25" s="8" t="n">
        <v>1</v>
      </c>
      <c r="E25" s="10" t="s">
        <v>110</v>
      </c>
      <c r="F25" s="10" t="s">
        <v>111</v>
      </c>
      <c r="G25" s="11" t="s">
        <v>112</v>
      </c>
      <c r="H25" s="12"/>
    </row>
    <row r="26" customFormat="false" ht="19.5" hidden="false" customHeight="true" outlineLevel="0" collapsed="false">
      <c r="A26" s="3" t="n">
        <v>25</v>
      </c>
      <c r="B26" s="4" t="s">
        <v>113</v>
      </c>
      <c r="C26" s="5" t="s">
        <v>114</v>
      </c>
      <c r="D26" s="3" t="n">
        <v>1</v>
      </c>
      <c r="E26" s="5" t="s">
        <v>115</v>
      </c>
      <c r="F26" s="5" t="s">
        <v>116</v>
      </c>
      <c r="G26" s="6" t="s">
        <v>117</v>
      </c>
      <c r="H26" s="7" t="s">
        <v>118</v>
      </c>
    </row>
    <row r="27" customFormat="false" ht="19.5" hidden="false" customHeight="true" outlineLevel="0" collapsed="false">
      <c r="A27" s="8" t="n">
        <v>26</v>
      </c>
      <c r="B27" s="9" t="s">
        <v>119</v>
      </c>
      <c r="C27" s="10" t="s">
        <v>120</v>
      </c>
      <c r="D27" s="8" t="n">
        <v>1</v>
      </c>
      <c r="E27" s="10" t="s">
        <v>121</v>
      </c>
      <c r="F27" s="10" t="s">
        <v>122</v>
      </c>
      <c r="G27" s="11" t="s">
        <v>123</v>
      </c>
      <c r="H27" s="12"/>
    </row>
    <row r="28" customFormat="false" ht="19.5" hidden="false" customHeight="true" outlineLevel="0" collapsed="false">
      <c r="A28" s="3" t="n">
        <v>27</v>
      </c>
      <c r="B28" s="4" t="s">
        <v>124</v>
      </c>
      <c r="C28" s="5" t="s">
        <v>125</v>
      </c>
      <c r="D28" s="3" t="n">
        <v>1</v>
      </c>
      <c r="E28" s="5" t="s">
        <v>126</v>
      </c>
      <c r="F28" s="5" t="s">
        <v>127</v>
      </c>
      <c r="G28" s="6" t="s">
        <v>128</v>
      </c>
      <c r="H28" s="7"/>
    </row>
    <row r="29" customFormat="false" ht="19.5" hidden="false" customHeight="true" outlineLevel="0" collapsed="false">
      <c r="A29" s="8" t="n">
        <v>28</v>
      </c>
      <c r="B29" s="9" t="s">
        <v>129</v>
      </c>
      <c r="C29" s="10" t="s">
        <v>114</v>
      </c>
      <c r="D29" s="8" t="n">
        <v>1</v>
      </c>
      <c r="E29" s="10" t="s">
        <v>130</v>
      </c>
      <c r="F29" s="10" t="s">
        <v>131</v>
      </c>
      <c r="G29" s="11" t="s">
        <v>132</v>
      </c>
      <c r="H29" s="12" t="s">
        <v>118</v>
      </c>
    </row>
    <row r="30" customFormat="false" ht="19.5" hidden="false" customHeight="true" outlineLevel="0" collapsed="false">
      <c r="A30" s="3" t="n">
        <v>29</v>
      </c>
      <c r="B30" s="4" t="s">
        <v>133</v>
      </c>
      <c r="C30" s="5" t="s">
        <v>125</v>
      </c>
      <c r="D30" s="3" t="n">
        <v>1</v>
      </c>
      <c r="E30" s="5" t="s">
        <v>134</v>
      </c>
      <c r="F30" s="5" t="s">
        <v>135</v>
      </c>
      <c r="G30" s="6" t="s">
        <v>136</v>
      </c>
      <c r="H30" s="7"/>
    </row>
    <row r="31" customFormat="false" ht="19.5" hidden="false" customHeight="true" outlineLevel="0" collapsed="false">
      <c r="A31" s="8" t="n">
        <v>30</v>
      </c>
      <c r="B31" s="9" t="s">
        <v>137</v>
      </c>
      <c r="C31" s="10" t="s">
        <v>120</v>
      </c>
      <c r="D31" s="8" t="n">
        <v>1</v>
      </c>
      <c r="E31" s="10" t="s">
        <v>138</v>
      </c>
      <c r="F31" s="10" t="s">
        <v>139</v>
      </c>
      <c r="G31" s="11" t="s">
        <v>140</v>
      </c>
      <c r="H31" s="12"/>
    </row>
    <row r="32" customFormat="false" ht="19.5" hidden="false" customHeight="true" outlineLevel="0" collapsed="false">
      <c r="A32" s="3" t="n">
        <v>31</v>
      </c>
      <c r="B32" s="4" t="s">
        <v>141</v>
      </c>
      <c r="C32" s="5" t="s">
        <v>125</v>
      </c>
      <c r="D32" s="3" t="n">
        <v>5</v>
      </c>
      <c r="E32" s="5" t="s">
        <v>142</v>
      </c>
      <c r="F32" s="5" t="s">
        <v>143</v>
      </c>
      <c r="G32" s="6" t="s">
        <v>144</v>
      </c>
      <c r="H32" s="7"/>
    </row>
    <row r="33" customFormat="false" ht="19.5" hidden="false" customHeight="true" outlineLevel="0" collapsed="false">
      <c r="A33" s="8" t="n">
        <v>32</v>
      </c>
      <c r="B33" s="9" t="s">
        <v>145</v>
      </c>
      <c r="C33" s="10" t="s">
        <v>125</v>
      </c>
      <c r="D33" s="8" t="n">
        <v>9</v>
      </c>
      <c r="E33" s="10" t="s">
        <v>130</v>
      </c>
      <c r="F33" s="10" t="s">
        <v>146</v>
      </c>
      <c r="G33" s="11" t="s">
        <v>147</v>
      </c>
      <c r="H33" s="12"/>
    </row>
    <row r="34" customFormat="false" ht="19.5" hidden="false" customHeight="true" outlineLevel="0" collapsed="false">
      <c r="A34" s="3" t="n">
        <v>33</v>
      </c>
      <c r="B34" s="4" t="s">
        <v>148</v>
      </c>
      <c r="C34" s="5" t="s">
        <v>125</v>
      </c>
      <c r="D34" s="3" t="n">
        <v>2</v>
      </c>
      <c r="E34" s="5" t="s">
        <v>149</v>
      </c>
      <c r="F34" s="5" t="s">
        <v>150</v>
      </c>
      <c r="G34" s="6" t="s">
        <v>151</v>
      </c>
      <c r="H34" s="7"/>
    </row>
    <row r="35" customFormat="false" ht="19.5" hidden="false" customHeight="true" outlineLevel="0" collapsed="false">
      <c r="A35" s="8" t="n">
        <v>34</v>
      </c>
      <c r="B35" s="9" t="s">
        <v>152</v>
      </c>
      <c r="C35" s="10" t="s">
        <v>125</v>
      </c>
      <c r="D35" s="8" t="n">
        <v>1</v>
      </c>
      <c r="E35" s="10" t="s">
        <v>153</v>
      </c>
      <c r="F35" s="10" t="s">
        <v>154</v>
      </c>
      <c r="G35" s="11" t="s">
        <v>155</v>
      </c>
      <c r="H35" s="12"/>
    </row>
    <row r="36" customFormat="false" ht="19.5" hidden="false" customHeight="true" outlineLevel="0" collapsed="false">
      <c r="A36" s="3" t="n">
        <v>35</v>
      </c>
      <c r="B36" s="4" t="s">
        <v>156</v>
      </c>
      <c r="C36" s="5" t="s">
        <v>125</v>
      </c>
      <c r="D36" s="3" t="n">
        <v>1</v>
      </c>
      <c r="E36" s="5" t="s">
        <v>157</v>
      </c>
      <c r="F36" s="5" t="s">
        <v>158</v>
      </c>
      <c r="G36" s="6" t="s">
        <v>159</v>
      </c>
      <c r="H36" s="7"/>
    </row>
    <row r="37" customFormat="false" ht="19.5" hidden="false" customHeight="true" outlineLevel="0" collapsed="false">
      <c r="A37" s="8" t="n">
        <v>36</v>
      </c>
      <c r="B37" s="9" t="s">
        <v>160</v>
      </c>
      <c r="C37" s="10" t="s">
        <v>125</v>
      </c>
      <c r="D37" s="8" t="n">
        <v>1</v>
      </c>
      <c r="E37" s="10" t="s">
        <v>161</v>
      </c>
      <c r="F37" s="10" t="s">
        <v>162</v>
      </c>
      <c r="G37" s="11" t="s">
        <v>163</v>
      </c>
      <c r="H37" s="12"/>
    </row>
    <row r="38" customFormat="false" ht="19.5" hidden="false" customHeight="true" outlineLevel="0" collapsed="false">
      <c r="A38" s="3" t="n">
        <v>37</v>
      </c>
      <c r="B38" s="4" t="s">
        <v>164</v>
      </c>
      <c r="C38" s="5" t="s">
        <v>165</v>
      </c>
      <c r="D38" s="3" t="n">
        <v>1</v>
      </c>
      <c r="E38" s="5" t="s">
        <v>166</v>
      </c>
      <c r="F38" s="5" t="s">
        <v>167</v>
      </c>
      <c r="G38" s="6" t="s">
        <v>168</v>
      </c>
      <c r="H38" s="7"/>
    </row>
    <row r="39" customFormat="false" ht="19.5" hidden="false" customHeight="true" outlineLevel="0" collapsed="false">
      <c r="A39" s="8" t="n">
        <v>38</v>
      </c>
      <c r="B39" s="9" t="s">
        <v>169</v>
      </c>
      <c r="C39" s="10" t="s">
        <v>170</v>
      </c>
      <c r="D39" s="8" t="n">
        <v>2</v>
      </c>
      <c r="E39" s="10" t="s">
        <v>171</v>
      </c>
      <c r="F39" s="10" t="s">
        <v>172</v>
      </c>
      <c r="G39" s="11" t="s">
        <v>173</v>
      </c>
      <c r="H39" s="12"/>
    </row>
    <row r="40" customFormat="false" ht="19.5" hidden="false" customHeight="true" outlineLevel="0" collapsed="false">
      <c r="A40" s="3" t="n">
        <v>39</v>
      </c>
      <c r="B40" s="4" t="s">
        <v>174</v>
      </c>
      <c r="C40" s="5" t="s">
        <v>175</v>
      </c>
      <c r="D40" s="3" t="n">
        <v>1</v>
      </c>
      <c r="E40" s="5" t="s">
        <v>176</v>
      </c>
      <c r="F40" s="5" t="s">
        <v>177</v>
      </c>
      <c r="G40" s="6" t="s">
        <v>178</v>
      </c>
      <c r="H40" s="7"/>
    </row>
    <row r="41" customFormat="false" ht="19.5" hidden="false" customHeight="true" outlineLevel="0" collapsed="false">
      <c r="A41" s="8" t="n">
        <v>40</v>
      </c>
      <c r="B41" s="9" t="s">
        <v>179</v>
      </c>
      <c r="C41" s="10" t="s">
        <v>180</v>
      </c>
      <c r="D41" s="8" t="n">
        <v>1</v>
      </c>
      <c r="E41" s="10" t="s">
        <v>181</v>
      </c>
      <c r="F41" s="10" t="s">
        <v>182</v>
      </c>
      <c r="G41" s="11" t="s">
        <v>183</v>
      </c>
      <c r="H41" s="12" t="s">
        <v>184</v>
      </c>
    </row>
    <row r="42" customFormat="false" ht="19.5" hidden="false" customHeight="true" outlineLevel="0" collapsed="false">
      <c r="A42" s="3" t="n">
        <v>41</v>
      </c>
      <c r="B42" s="4" t="s">
        <v>185</v>
      </c>
      <c r="C42" s="5" t="s">
        <v>186</v>
      </c>
      <c r="D42" s="3" t="n">
        <v>4</v>
      </c>
      <c r="E42" s="5" t="s">
        <v>187</v>
      </c>
      <c r="F42" s="5" t="s">
        <v>188</v>
      </c>
      <c r="G42" s="6" t="s">
        <v>189</v>
      </c>
      <c r="H42" s="7"/>
    </row>
    <row r="43" customFormat="false" ht="19.5" hidden="false" customHeight="true" outlineLevel="0" collapsed="false">
      <c r="A43" s="8" t="n">
        <v>42</v>
      </c>
      <c r="B43" s="9" t="s">
        <v>190</v>
      </c>
      <c r="C43" s="10" t="s">
        <v>191</v>
      </c>
      <c r="D43" s="8" t="n">
        <v>1</v>
      </c>
      <c r="E43" s="10" t="s">
        <v>192</v>
      </c>
      <c r="F43" s="10" t="s">
        <v>193</v>
      </c>
      <c r="G43" s="11" t="s">
        <v>194</v>
      </c>
      <c r="H43" s="12"/>
    </row>
    <row r="44" customFormat="false" ht="19.5" hidden="false" customHeight="true" outlineLevel="0" collapsed="false">
      <c r="A44" s="3" t="n">
        <v>43</v>
      </c>
      <c r="B44" s="4" t="s">
        <v>195</v>
      </c>
      <c r="C44" s="5" t="s">
        <v>196</v>
      </c>
      <c r="D44" s="3" t="n">
        <v>1</v>
      </c>
      <c r="E44" s="5" t="s">
        <v>197</v>
      </c>
      <c r="F44" s="5" t="s">
        <v>198</v>
      </c>
      <c r="G44" s="6" t="s">
        <v>199</v>
      </c>
      <c r="H44" s="7"/>
    </row>
    <row r="45" customFormat="false" ht="19.5" hidden="false" customHeight="true" outlineLevel="0" collapsed="false">
      <c r="A45" s="8" t="n">
        <v>44</v>
      </c>
      <c r="B45" s="9" t="s">
        <v>200</v>
      </c>
      <c r="C45" s="10" t="s">
        <v>175</v>
      </c>
      <c r="D45" s="8" t="n">
        <v>1</v>
      </c>
      <c r="E45" s="10" t="s">
        <v>201</v>
      </c>
      <c r="F45" s="10" t="s">
        <v>202</v>
      </c>
      <c r="G45" s="11" t="s">
        <v>203</v>
      </c>
      <c r="H45" s="12"/>
    </row>
    <row r="46" customFormat="false" ht="19.5" hidden="false" customHeight="true" outlineLevel="0" collapsed="false">
      <c r="A46" s="3" t="n">
        <v>45</v>
      </c>
      <c r="B46" s="4" t="s">
        <v>204</v>
      </c>
      <c r="C46" s="5" t="s">
        <v>191</v>
      </c>
      <c r="D46" s="3" t="n">
        <v>1</v>
      </c>
      <c r="E46" s="5" t="s">
        <v>205</v>
      </c>
      <c r="F46" s="5" t="s">
        <v>206</v>
      </c>
      <c r="G46" s="6" t="s">
        <v>207</v>
      </c>
      <c r="H46" s="7"/>
    </row>
    <row r="47" customFormat="false" ht="21.75" hidden="false" customHeight="true" outlineLevel="0" collapsed="false">
      <c r="A47" s="13" t="s">
        <v>208</v>
      </c>
      <c r="B47" s="14"/>
      <c r="C47" s="14"/>
      <c r="D47" s="15" t="n">
        <f aca="false">SUM(D2:D46)</f>
        <v>83</v>
      </c>
      <c r="E47" s="14"/>
      <c r="F47" s="14"/>
      <c r="G47" s="14"/>
      <c r="H47" s="14"/>
    </row>
  </sheetData>
  <hyperlinks>
    <hyperlink ref="G2" r:id="rId1" display="https://www.digikey.in/en/products/detail/nichicon/UVR2A102MHD/588893"/>
    <hyperlink ref="G3" r:id="rId2" display="https://www.digikey.in/en/products/result?keywords=EEU-FC2A101L"/>
    <hyperlink ref="G4" r:id="rId3" display="https://www.digikey.in/en/products/result?keywords=EEU-FC2A101L"/>
    <hyperlink ref="G5" r:id="rId4" display="https://www.digikey.in/en/products/result?keywords=GRM21BR71H105KA12L"/>
    <hyperlink ref="G6" r:id="rId5" display="https://www.digikey.in/en/products/result?keywords=GRM21BR71H474KA88L"/>
    <hyperlink ref="G7" r:id="rId6" display="https://www.digikey.in/en/products/result?keywords=GRM31CR71H475KA12L"/>
    <hyperlink ref="G8" r:id="rId7" display="https://www.digikey.in/en/products/result?keywords=GRM31CR71H475KA12L"/>
    <hyperlink ref="G9" r:id="rId8" display="https://www.digikey.in/en/products/result?keywords=GRM21BR71H105KA12L"/>
    <hyperlink ref="G10" r:id="rId9" display="https://www.digikey.in/en/products/result?keywords=GRM216R71H103KA01D"/>
    <hyperlink ref="G11" r:id="rId10" display="https://www.digikey.in/en/products/result?keywords=GRM21BR71H104KA01L"/>
    <hyperlink ref="G12" r:id="rId11" display="https://www.digikey.in/en/products/result?keywords=GRM21BR71H474KA88L"/>
    <hyperlink ref="G13" r:id="rId12" display="https://www.digikey.in/en/products/result?keywords=GRM21BR71E225KA73L"/>
    <hyperlink ref="G14" r:id="rId13" display="https://www.digikey.in/en/products/result?keywords=GRM21BR71H473KA01L"/>
    <hyperlink ref="G15" r:id="rId14" display="https://www.digikey.in/en/products/detail/comchip-technology/SS310-HF/10279686"/>
    <hyperlink ref="G16" r:id="rId15" display="https://www.digikey.in/en/products/result?keywords=SMCJ54A"/>
    <hyperlink ref="G17" r:id="rId16" display="https://www.digikey.in/en/products/result?keywords=LTST-C171KRKT"/>
    <hyperlink ref="G18" r:id="rId17" display="https://www.digikey.in/en/products/result?keywords=1N4148W-7-F"/>
    <hyperlink ref="G19" r:id="rId18" display="https://www.digikey.in/en/products/detail/littelfuse-inc/SMF15A/3672307"/>
    <hyperlink ref="G20" r:id="rId19" display="https://www.digikey.in/en/products/result?keywords=Keystone%203568"/>
    <hyperlink ref="G21" r:id="rId20" display="https://aws.robu.in/?p=2158378"/>
    <hyperlink ref="G22" r:id="rId21" display="https://aws.robu.in/product/amass-xt90pw22-male-connector-xt9022pw-m-g-y"/>
    <hyperlink ref="G23" r:id="rId22" display="https://aws.robu.in/product/amass-xt30pw30-female-connector-xt30pw-f30-g-y"/>
    <hyperlink ref="G24" r:id="rId23" display="https://robu.in/product/qs8-s-anti-spark-male-female-connector-pair/"/>
    <hyperlink ref="G25" r:id="rId24" display="https://www.digikey.in/en/products/detail/infineon-technologies/IRF540NSTRLPBF/1769873"/>
    <hyperlink ref="G26" r:id="rId25" display="https://robu.in/?s=2.7+ohm+5W+resistor&amp;post_type=product"/>
    <hyperlink ref="G27" r:id="rId26" display="https://www.digikey.in/en/products/result?keywords=RC1206FR-0747KL"/>
    <hyperlink ref="G28" r:id="rId27" display="https://www.digikey.in/en/products/result?keywords=RC0805FR-07158KL"/>
    <hyperlink ref="G29" r:id="rId28" display="https://robu.in/?s=10k+5W+resistor&amp;post_type=product"/>
    <hyperlink ref="G30" r:id="rId29" display="https://www.digikey.in/en/products/result?keywords=RC0805FR-07150KL"/>
    <hyperlink ref="G31" r:id="rId30" display="https://www.digikey.in/en/products/result?keywords=RC1206FR-0722KL"/>
    <hyperlink ref="G32" r:id="rId31" display="https://www.digikey.in/en/products/result?keywords=RC0805FR-0710RL"/>
    <hyperlink ref="G33" r:id="rId32" display="https://www.digikey.in/en/products/result?keywords=RC0805FR-0710KL"/>
    <hyperlink ref="G34" r:id="rId33" display="https://www.digikey.in/en/products/result?keywords=RC0805FR-0720KL"/>
    <hyperlink ref="G35" r:id="rId34" display="https://www.digikey.in/en/products/result?keywords=RC0805FR-071ML"/>
    <hyperlink ref="G36" r:id="rId35" display="https://www.digikey.in/en/products/result?keywords=RC0805FR-07100KL"/>
    <hyperlink ref="G37" r:id="rId36" display="https://www.digikey.in/en/products/result?keywords=RC0805FR-07100RL"/>
    <hyperlink ref="G38" r:id="rId37" display="https://www.digikey.in/en/products/result?keywords=3296W-1-504LF"/>
    <hyperlink ref="G39" r:id="rId38" display="https://www.digikey.in/en/products/detail/texas-instruments/TPSI3050QDWZRQ1/16982032"/>
    <hyperlink ref="G40" r:id="rId39" display="https://www.digikey.in/en/products/result?keywords=SN74HC74DR"/>
    <hyperlink ref="G41" r:id="rId40" display="https://www.mornsun-power.com/public/uploads/pdf/URB48_LD-60W(H)R3.pdf"/>
    <hyperlink ref="G42" r:id="rId41" display="https://www.digikey.in/en/products/result?keywords=IPB017N10N5ATMA1"/>
    <hyperlink ref="G43" r:id="rId42" display="https://www.digikey.in/en/products/result?keywords=TLC555CDR"/>
    <hyperlink ref="G44" r:id="rId43" display="https://www.digikey.in/en/products/result?keywords=SN74HC08D"/>
    <hyperlink ref="G45" r:id="rId44" display="https://www.digikey.in/en/products/result?keywords=SN74HC14DR"/>
    <hyperlink ref="G46" r:id="rId45" display="https://www.digikey.in/en/products/detail/texas-instruments/LM393LVDR/1353546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2026-10-30T15:05:41Z</dcterms:created>
  <dc:creator>openpyxl</dc:creator>
  <dc:description/>
  <dc:language>en-US</dc:language>
  <cp:lastModifiedBy/>
  <dcterms:modified xsi:type="dcterms:W3CDTF">2026-10-30T17:08:32Z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